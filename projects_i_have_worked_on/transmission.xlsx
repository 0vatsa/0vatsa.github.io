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riva\Desktop\internship pitches\quantum MF\research\data\"/>
    </mc:Choice>
  </mc:AlternateContent>
  <xr:revisionPtr revIDLastSave="0" documentId="13_ncr:1_{D2279564-FB60-4547-A405-DED87A224BC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2" i="1"/>
  <c r="K23" i="1"/>
  <c r="K24" i="1"/>
  <c r="K20" i="1"/>
  <c r="H21" i="1"/>
  <c r="I21" i="1"/>
  <c r="J21" i="1"/>
  <c r="H22" i="1"/>
  <c r="I22" i="1"/>
  <c r="J22" i="1"/>
  <c r="H23" i="1"/>
  <c r="I23" i="1"/>
  <c r="J23" i="1"/>
  <c r="H24" i="1"/>
  <c r="I24" i="1"/>
  <c r="J24" i="1"/>
  <c r="I20" i="1"/>
  <c r="J20" i="1"/>
  <c r="H20" i="1"/>
  <c r="H15" i="1"/>
  <c r="H12" i="1"/>
  <c r="H4" i="1"/>
  <c r="G4" i="1"/>
  <c r="G15" i="1"/>
  <c r="F4" i="1"/>
</calcChain>
</file>

<file path=xl/sharedStrings.xml><?xml version="1.0" encoding="utf-8"?>
<sst xmlns="http://schemas.openxmlformats.org/spreadsheetml/2006/main" count="15" uniqueCount="12">
  <si>
    <t>otal transmission line network in the country (220 kV and above)</t>
  </si>
  <si>
    <t xml:space="preserve">transformation capacity </t>
  </si>
  <si>
    <t>Central</t>
  </si>
  <si>
    <t>State</t>
  </si>
  <si>
    <t>Private</t>
  </si>
  <si>
    <t>Total</t>
  </si>
  <si>
    <t>year</t>
  </si>
  <si>
    <t>Sector-Wise share of transmission line addition</t>
  </si>
  <si>
    <t xml:space="preserve">% wise </t>
  </si>
  <si>
    <t>source: transrail lighting report  and npp</t>
  </si>
  <si>
    <t>source: transrail lighting report and npp</t>
  </si>
  <si>
    <t>source: transrail lighting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</si>
</sst>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transmission line network 220KV and above (CKM)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ckm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Sheet1!$C$3:$C$8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Sheet1!$D$3:$D$8</c:f>
              <c:numCache>
                <c:formatCode>0</c:formatCode>
                <c:ptCount val="6"/>
                <c:pt idx="0">
                  <c:v>413407</c:v>
                </c:pt>
                <c:pt idx="1">
                  <c:v>425071</c:v>
                </c:pt>
                <c:pt idx="2">
                  <c:v>441821</c:v>
                </c:pt>
                <c:pt idx="3">
                  <c:v>456716</c:v>
                </c:pt>
                <c:pt idx="4">
                  <c:v>471341</c:v>
                </c:pt>
                <c:pt idx="5">
                  <c:v>485544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A-42D4-B335-5545362B22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2001215"/>
        <c:axId val="2032007455"/>
      </c:lineChart>
      <c:catAx>
        <c:axId val="203200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07455"/>
        <c:crosses val="autoZero"/>
        <c:auto val="1"/>
        <c:lblAlgn val="ctr"/>
        <c:lblOffset val="100"/>
        <c:noMultiLvlLbl val="0"/>
      </c:catAx>
      <c:valAx>
        <c:axId val="203200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0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transformation capacity 220KV and above (MVA)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ckm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Sheet1!$C$3:$C$8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Sheet1!$D$11:$D$16</c:f>
              <c:numCache>
                <c:formatCode>0</c:formatCode>
                <c:ptCount val="6"/>
                <c:pt idx="0">
                  <c:v>899663</c:v>
                </c:pt>
                <c:pt idx="1">
                  <c:v>967893</c:v>
                </c:pt>
                <c:pt idx="2">
                  <c:v>1025468</c:v>
                </c:pt>
                <c:pt idx="3">
                  <c:v>1104450</c:v>
                </c:pt>
                <c:pt idx="4">
                  <c:v>1180352</c:v>
                </c:pt>
                <c:pt idx="5">
                  <c:v>1251080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E-43A8-A66C-6E16C2EB54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2001215"/>
        <c:axId val="2032007455"/>
      </c:lineChart>
      <c:catAx>
        <c:axId val="203200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07455"/>
        <c:crosses val="autoZero"/>
        <c:auto val="1"/>
        <c:lblAlgn val="ctr"/>
        <c:lblOffset val="100"/>
        <c:noMultiLvlLbl val="0"/>
      </c:catAx>
      <c:valAx>
        <c:axId val="2032007455"/>
        <c:scaling>
          <c:orientation val="minMax"/>
          <c:min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MVA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0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Transmission line additions</a:t>
            </a:r>
            <a:r>
              <a:rPr lang="en-US" baseline="0"/>
              <a:t> sector wise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Sheet1!$D$19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6474664522050587E-2"/>
                  <c:y val="3.16940637688845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08-465A-BA1F-1413CA4B0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Sheet1!$C$20:$C$24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Sheet1!$D$20:$D$24</c:f>
              <c:numCache>
                <c:formatCode>General</c:formatCode>
                <c:ptCount val="5"/>
                <c:pt idx="0">
                  <c:v>8590</c:v>
                </c:pt>
                <c:pt idx="1">
                  <c:v>4489</c:v>
                </c:pt>
                <c:pt idx="2">
                  <c:v>7166</c:v>
                </c:pt>
                <c:pt idx="3">
                  <c:v>4676</c:v>
                </c:pt>
                <c:pt idx="4">
                  <c:v>3926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8-465A-BA1F-1413CA4B0A45}"/>
            </c:ext>
          </c:extLst>
        </c:ser>
        <c:ser>
          <c:idx val="1"/>
          <c:order val="1"/>
          <c:tx>
            <c:strRef>
              <c:f>Sheet1!$E$19</c:f>
              <c:strCache>
                <c:ptCount val="1"/>
                <c:pt idx="0">
                  <c:v>State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Sheet1!$C$20:$C$24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Sheet1!$E$20:$E$24</c:f>
              <c:numCache>
                <c:formatCode>General</c:formatCode>
                <c:ptCount val="5"/>
                <c:pt idx="0">
                  <c:v>10007</c:v>
                </c:pt>
                <c:pt idx="1">
                  <c:v>6307</c:v>
                </c:pt>
                <c:pt idx="2">
                  <c:v>7657</c:v>
                </c:pt>
                <c:pt idx="3">
                  <c:v>8939</c:v>
                </c:pt>
                <c:pt idx="4">
                  <c:v>6816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08-465A-BA1F-1413CA4B0A45}"/>
            </c:ext>
          </c:extLst>
        </c:ser>
        <c:ser>
          <c:idx val="2"/>
          <c:order val="2"/>
          <c:tx>
            <c:strRef>
              <c:f>Sheet1!$F$19</c:f>
              <c:strCache>
                <c:ptCount val="1"/>
                <c:pt idx="0">
                  <c:v>Private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4.0614808054632946E-2"/>
                  <c:y val="2.7968628905033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8-465A-BA1F-1413CA4B0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Sheet1!$C$20:$C$24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Sheet1!$F$20:$F$24</c:f>
              <c:numCache>
                <c:formatCode>General</c:formatCode>
                <c:ptCount val="5"/>
                <c:pt idx="0">
                  <c:v>3840</c:v>
                </c:pt>
                <c:pt idx="1">
                  <c:v>868</c:v>
                </c:pt>
                <c:pt idx="2">
                  <c:v>1927</c:v>
                </c:pt>
                <c:pt idx="3">
                  <c:v>1280</c:v>
                </c:pt>
                <c:pt idx="4">
                  <c:v>3883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08-465A-BA1F-1413CA4B0A4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1920143"/>
        <c:axId val="746450383"/>
      </c:lineChart>
      <c:catAx>
        <c:axId val="7419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50383"/>
        <c:crosses val="autoZero"/>
        <c:auto val="1"/>
        <c:lblAlgn val="ctr"/>
        <c:lblOffset val="100"/>
        <c:noMultiLvlLbl val="0"/>
      </c:catAx>
      <c:valAx>
        <c:axId val="74645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9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contribution</a:t>
            </a:r>
            <a:r>
              <a:rPr lang="en-US" baseline="0"/>
              <a:t> by each sector to transmission lines addition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Sheet1!$H$19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Sheet1!$C$20:$C$24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Sheet1!$H$20:$H$24</c:f>
              <c:numCache>
                <c:formatCode>0.0</c:formatCode>
                <c:ptCount val="5"/>
                <c:pt idx="0">
                  <c:v>38.284975709765121</c:v>
                </c:pt>
                <c:pt idx="1">
                  <c:v>38.485939643347052</c:v>
                </c:pt>
                <c:pt idx="2">
                  <c:v>42.782089552238808</c:v>
                </c:pt>
                <c:pt idx="3">
                  <c:v>31.393084927828131</c:v>
                </c:pt>
                <c:pt idx="4">
                  <c:v>26.844444444444441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8-4E69-8033-16CB57D1D24E}"/>
            </c:ext>
          </c:extLst>
        </c:ser>
        <c:ser>
          <c:idx val="1"/>
          <c:order val="1"/>
          <c:tx>
            <c:strRef>
              <c:f>Sheet1!$I$19</c:f>
              <c:strCache>
                <c:ptCount val="1"/>
                <c:pt idx="0">
                  <c:v>State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Sheet1!$C$20:$C$24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Sheet1!$I$20:$I$24</c:f>
              <c:numCache>
                <c:formatCode>0.0</c:formatCode>
                <c:ptCount val="5"/>
                <c:pt idx="0">
                  <c:v>44.60043677853546</c:v>
                </c:pt>
                <c:pt idx="1">
                  <c:v>54.07235939643347</c:v>
                </c:pt>
                <c:pt idx="2">
                  <c:v>45.713432835820896</c:v>
                </c:pt>
                <c:pt idx="3">
                  <c:v>60.013427324605573</c:v>
                </c:pt>
                <c:pt idx="4">
                  <c:v>46.605128205128203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8-4E69-8033-16CB57D1D24E}"/>
            </c:ext>
          </c:extLst>
        </c:ser>
        <c:ser>
          <c:idx val="2"/>
          <c:order val="2"/>
          <c:tx>
            <c:strRef>
              <c:f>Sheet1!$J$19</c:f>
              <c:strCache>
                <c:ptCount val="1"/>
                <c:pt idx="0">
                  <c:v>Private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3.1603161674274932E-2"/>
                  <c:y val="2.9609254848140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58-4E69-8033-16CB57D1D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Sheet1!$C$20:$C$24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Sheet1!$J$20:$J$24</c:f>
              <c:numCache>
                <c:formatCode>0.0</c:formatCode>
                <c:ptCount val="5"/>
                <c:pt idx="0">
                  <c:v>17.114587511699426</c:v>
                </c:pt>
                <c:pt idx="1">
                  <c:v>7.441700960219479</c:v>
                </c:pt>
                <c:pt idx="2">
                  <c:v>11.504477611940299</c:v>
                </c:pt>
                <c:pt idx="3">
                  <c:v>8.5934877475662965</c:v>
                </c:pt>
                <c:pt idx="4">
                  <c:v>26.550427350427352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58-4E69-8033-16CB57D1D2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2110303"/>
        <c:axId val="1072115583"/>
      </c:lineChart>
      <c:catAx>
        <c:axId val="107211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15583"/>
        <c:crosses val="autoZero"/>
        <c:auto val="1"/>
        <c:lblAlgn val="ctr"/>
        <c:lblOffset val="100"/>
        <c:noMultiLvlLbl val="0"/>
      </c:catAx>
      <c:valAx>
        <c:axId val="107211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1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346709</xdr:colOff>
      <xdr:row>1</xdr:row>
      <xdr:rowOff>178117</xdr:rowOff>
    </xdr:from>
    <xdr:to>
      <xdr:col>24</xdr:col>
      <xdr:colOff>485775</xdr:colOff>
      <xdr:row>10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ABD3DB-B328-20A7-0261-35B46D996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339089</xdr:colOff>
      <xdr:row>11</xdr:row>
      <xdr:rowOff>7620</xdr:rowOff>
    </xdr:from>
    <xdr:to>
      <xdr:col>24</xdr:col>
      <xdr:colOff>485774</xdr:colOff>
      <xdr:row>20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5D99D4-E51A-46C5-BF0C-B14A73E28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326706</xdr:colOff>
      <xdr:row>20</xdr:row>
      <xdr:rowOff>153353</xdr:rowOff>
    </xdr:from>
    <xdr:to>
      <xdr:col>24</xdr:col>
      <xdr:colOff>504825</xdr:colOff>
      <xdr:row>32</xdr:row>
      <xdr:rowOff>38101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71822A-8480-0726-7C49-86BB2E723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477201</xdr:colOff>
      <xdr:row>25</xdr:row>
      <xdr:rowOff>101917</xdr:rowOff>
    </xdr:from>
    <xdr:to>
      <xdr:col>11</xdr:col>
      <xdr:colOff>542925</xdr:colOff>
      <xdr:row>38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112995-0FE8-D432-1744-38EF27F8C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24"/>
  <sheetViews>
    <sheetView tabSelected="1" workbookViewId="0">
      <selection activeCell="J13" sqref="J13"/>
    </sheetView>
  </sheetViews>
  <sheetFormatPr defaultRowHeight="14.4" x14ac:dyDescent="0.3"/>
  <sheetData>
    <row r="1" spans="3:8" x14ac:dyDescent="0.3">
      <c r="C1" t="s">
        <v>10</v>
      </c>
    </row>
    <row r="2" spans="3:8" x14ac:dyDescent="0.3">
      <c r="C2" t="s">
        <v>0</v>
      </c>
    </row>
    <row r="3" spans="3:8" x14ac:dyDescent="0.3">
      <c r="C3">
        <v>2019</v>
      </c>
      <c r="D3" s="1">
        <v>413407</v>
      </c>
    </row>
    <row r="4" spans="3:8" x14ac:dyDescent="0.3">
      <c r="C4">
        <v>2020</v>
      </c>
      <c r="D4" s="1">
        <v>425071</v>
      </c>
      <c r="F4">
        <f>(D7-D3)/D3*100</f>
        <v>14.013792703074692</v>
      </c>
      <c r="G4">
        <f>F4/6</f>
        <v>2.3356321171791152</v>
      </c>
      <c r="H4">
        <f>((D8/D3)^(1/6)-1)*100</f>
        <v>2.7168740770571187</v>
      </c>
    </row>
    <row r="5" spans="3:8" x14ac:dyDescent="0.3">
      <c r="C5">
        <v>2021</v>
      </c>
      <c r="D5" s="1">
        <v>441821</v>
      </c>
    </row>
    <row r="6" spans="3:8" x14ac:dyDescent="0.3">
      <c r="C6">
        <v>2022</v>
      </c>
      <c r="D6" s="1">
        <v>456716</v>
      </c>
    </row>
    <row r="7" spans="3:8" x14ac:dyDescent="0.3">
      <c r="C7">
        <v>2023</v>
      </c>
      <c r="D7" s="1">
        <v>471341</v>
      </c>
    </row>
    <row r="8" spans="3:8" x14ac:dyDescent="0.3">
      <c r="C8">
        <v>2024</v>
      </c>
      <c r="D8" s="1">
        <v>485544</v>
      </c>
    </row>
    <row r="9" spans="3:8" x14ac:dyDescent="0.3">
      <c r="C9" t="s">
        <v>9</v>
      </c>
    </row>
    <row r="10" spans="3:8" x14ac:dyDescent="0.3">
      <c r="C10" t="s">
        <v>1</v>
      </c>
    </row>
    <row r="11" spans="3:8" x14ac:dyDescent="0.3">
      <c r="C11">
        <v>2019</v>
      </c>
      <c r="D11" s="1">
        <v>899663</v>
      </c>
    </row>
    <row r="12" spans="3:8" x14ac:dyDescent="0.3">
      <c r="C12">
        <v>2020</v>
      </c>
      <c r="D12" s="1">
        <v>967893</v>
      </c>
      <c r="H12">
        <f>((D16/D11)^(1/6)-1)*100</f>
        <v>5.6495221119937655</v>
      </c>
    </row>
    <row r="13" spans="3:8" x14ac:dyDescent="0.3">
      <c r="C13">
        <v>2021</v>
      </c>
      <c r="D13" s="1">
        <v>1025468</v>
      </c>
    </row>
    <row r="14" spans="3:8" x14ac:dyDescent="0.3">
      <c r="C14">
        <v>2022</v>
      </c>
      <c r="D14" s="1">
        <v>1104450</v>
      </c>
    </row>
    <row r="15" spans="3:8" x14ac:dyDescent="0.3">
      <c r="C15">
        <v>2023</v>
      </c>
      <c r="D15" s="1">
        <v>1180352</v>
      </c>
      <c r="G15">
        <f>(D16-D11)/D11*100</f>
        <v>39.06095949261001</v>
      </c>
      <c r="H15">
        <f>G15/6</f>
        <v>6.5101599154350014</v>
      </c>
    </row>
    <row r="16" spans="3:8" x14ac:dyDescent="0.3">
      <c r="C16">
        <v>2024</v>
      </c>
      <c r="D16" s="1">
        <v>1251080</v>
      </c>
    </row>
    <row r="17" spans="3:11" x14ac:dyDescent="0.3">
      <c r="C17" t="s">
        <v>11</v>
      </c>
      <c r="D17" s="1"/>
    </row>
    <row r="18" spans="3:11" x14ac:dyDescent="0.3">
      <c r="C18" t="s">
        <v>7</v>
      </c>
      <c r="H18" t="s">
        <v>8</v>
      </c>
    </row>
    <row r="19" spans="3:11" x14ac:dyDescent="0.3">
      <c r="C19" s="2" t="s">
        <v>6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2</v>
      </c>
      <c r="I19" s="2" t="s">
        <v>3</v>
      </c>
      <c r="J19" s="2" t="s">
        <v>4</v>
      </c>
    </row>
    <row r="20" spans="3:11" x14ac:dyDescent="0.3">
      <c r="C20">
        <v>2019</v>
      </c>
      <c r="D20">
        <v>8590</v>
      </c>
      <c r="E20">
        <v>10007</v>
      </c>
      <c r="F20">
        <v>3840</v>
      </c>
      <c r="G20">
        <v>22437</v>
      </c>
      <c r="H20" s="3">
        <f>D20/$G20*100</f>
        <v>38.284975709765121</v>
      </c>
      <c r="I20" s="3">
        <f t="shared" ref="I20:J20" si="0">E20/$G20*100</f>
        <v>44.60043677853546</v>
      </c>
      <c r="J20" s="3">
        <f t="shared" si="0"/>
        <v>17.114587511699426</v>
      </c>
      <c r="K20">
        <f>SUM(H20:J20)</f>
        <v>100</v>
      </c>
    </row>
    <row r="21" spans="3:11" x14ac:dyDescent="0.3">
      <c r="C21">
        <v>2020</v>
      </c>
      <c r="D21">
        <v>4489</v>
      </c>
      <c r="E21">
        <v>6307</v>
      </c>
      <c r="F21">
        <v>868</v>
      </c>
      <c r="G21">
        <v>11664</v>
      </c>
      <c r="H21" s="3">
        <f t="shared" ref="H21:H24" si="1">D21/$G21*100</f>
        <v>38.485939643347052</v>
      </c>
      <c r="I21" s="3">
        <f t="shared" ref="I21:I24" si="2">E21/$G21*100</f>
        <v>54.07235939643347</v>
      </c>
      <c r="J21" s="3">
        <f t="shared" ref="J21:J24" si="3">F21/$G21*100</f>
        <v>7.441700960219479</v>
      </c>
      <c r="K21">
        <f t="shared" ref="K21:K24" si="4">SUM(H21:J21)</f>
        <v>100</v>
      </c>
    </row>
    <row r="22" spans="3:11" x14ac:dyDescent="0.3">
      <c r="C22">
        <v>2021</v>
      </c>
      <c r="D22">
        <v>7166</v>
      </c>
      <c r="E22">
        <v>7657</v>
      </c>
      <c r="F22">
        <v>1927</v>
      </c>
      <c r="G22">
        <v>16750</v>
      </c>
      <c r="H22" s="3">
        <f t="shared" si="1"/>
        <v>42.782089552238808</v>
      </c>
      <c r="I22" s="3">
        <f t="shared" si="2"/>
        <v>45.713432835820896</v>
      </c>
      <c r="J22" s="3">
        <f t="shared" si="3"/>
        <v>11.504477611940299</v>
      </c>
      <c r="K22">
        <f t="shared" si="4"/>
        <v>100</v>
      </c>
    </row>
    <row r="23" spans="3:11" x14ac:dyDescent="0.3">
      <c r="C23">
        <v>2022</v>
      </c>
      <c r="D23">
        <v>4676</v>
      </c>
      <c r="E23">
        <v>8939</v>
      </c>
      <c r="F23">
        <v>1280</v>
      </c>
      <c r="G23">
        <v>14895</v>
      </c>
      <c r="H23" s="3">
        <f t="shared" si="1"/>
        <v>31.393084927828131</v>
      </c>
      <c r="I23" s="3">
        <f t="shared" si="2"/>
        <v>60.013427324605573</v>
      </c>
      <c r="J23" s="3">
        <f t="shared" si="3"/>
        <v>8.5934877475662965</v>
      </c>
      <c r="K23">
        <f t="shared" si="4"/>
        <v>100</v>
      </c>
    </row>
    <row r="24" spans="3:11" x14ac:dyDescent="0.3">
      <c r="C24">
        <v>2023</v>
      </c>
      <c r="D24">
        <v>3926</v>
      </c>
      <c r="E24">
        <v>6816</v>
      </c>
      <c r="F24">
        <v>3883</v>
      </c>
      <c r="G24">
        <v>14625</v>
      </c>
      <c r="H24" s="3">
        <f t="shared" si="1"/>
        <v>26.844444444444441</v>
      </c>
      <c r="I24" s="3">
        <f t="shared" si="2"/>
        <v>46.605128205128203</v>
      </c>
      <c r="J24" s="3">
        <f t="shared" si="3"/>
        <v>26.550427350427352</v>
      </c>
      <c r="K24">
        <f t="shared" si="4"/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theta</dc:creator>
  <cp:lastModifiedBy>zx theta</cp:lastModifiedBy>
  <dcterms:created xsi:type="dcterms:W3CDTF">2015-06-05T18:17:20Z</dcterms:created>
  <dcterms:modified xsi:type="dcterms:W3CDTF">2024-08-04T20:32:08Z</dcterms:modified>
</cp:coreProperties>
</file>